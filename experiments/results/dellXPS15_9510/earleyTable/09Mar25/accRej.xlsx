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sle\dev\referenceLanguageCorpora\experiments\results\dellXPS15_9510\earleyTable\09Mar25\"/>
    </mc:Choice>
  </mc:AlternateContent>
  <xr:revisionPtr revIDLastSave="0" documentId="13_ncr:1_{D7B518E4-57C8-485C-A313-72F05F3D1CBE}" xr6:coauthVersionLast="47" xr6:coauthVersionMax="47" xr10:uidLastSave="{00000000-0000-0000-0000-000000000000}"/>
  <bookViews>
    <workbookView xWindow="-120" yWindow="-120" windowWidth="29040" windowHeight="18240" xr2:uid="{9424CDA1-D00A-4D1E-9158-89527FDAC7A0}"/>
  </bookViews>
  <sheets>
    <sheet name="accRej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2" i="1" l="1"/>
  <c r="Q63" i="1" s="1"/>
  <c r="Q19" i="1"/>
  <c r="Q20" i="1"/>
  <c r="Q21" i="1"/>
  <c r="Q23" i="1"/>
  <c r="Q24" i="1"/>
  <c r="Q25" i="1"/>
  <c r="Q26" i="1"/>
  <c r="Q28" i="1"/>
  <c r="Q29" i="1"/>
  <c r="Q30" i="1"/>
  <c r="Q31" i="1"/>
  <c r="Q22" i="1"/>
  <c r="Q27" i="1"/>
  <c r="Q32" i="1"/>
  <c r="Q52" i="1"/>
  <c r="Q53" i="1"/>
  <c r="Q54" i="1"/>
  <c r="Q55" i="1"/>
  <c r="Q57" i="1"/>
  <c r="Q58" i="1"/>
  <c r="Q59" i="1"/>
  <c r="Q60" i="1"/>
  <c r="Q56" i="1"/>
  <c r="Q61" i="1"/>
  <c r="Q37" i="1"/>
  <c r="Q38" i="1"/>
  <c r="Q39" i="1"/>
  <c r="Q40" i="1"/>
  <c r="Q42" i="1"/>
  <c r="Q43" i="1"/>
  <c r="Q44" i="1"/>
  <c r="Q45" i="1"/>
  <c r="Q47" i="1"/>
  <c r="Q48" i="1"/>
  <c r="Q49" i="1"/>
  <c r="Q50" i="1"/>
  <c r="Q41" i="1"/>
  <c r="Q46" i="1"/>
  <c r="Q33" i="1"/>
  <c r="Q34" i="1"/>
  <c r="Q35" i="1"/>
  <c r="Q36" i="1"/>
  <c r="Q3" i="1"/>
  <c r="Q4" i="1"/>
  <c r="Q5" i="1"/>
  <c r="Q6" i="1"/>
  <c r="Q8" i="1"/>
  <c r="Q9" i="1"/>
  <c r="Q10" i="1"/>
  <c r="Q11" i="1"/>
  <c r="Q13" i="1"/>
  <c r="Q14" i="1"/>
  <c r="Q15" i="1"/>
  <c r="Q16" i="1"/>
  <c r="Q7" i="1"/>
  <c r="Q12" i="1"/>
  <c r="Q17" i="1"/>
  <c r="Q18" i="1"/>
</calcChain>
</file>

<file path=xl/sharedStrings.xml><?xml version="1.0" encoding="utf-8"?>
<sst xmlns="http://schemas.openxmlformats.org/spreadsheetml/2006/main" count="137" uniqueCount="31">
  <si>
    <t>string</t>
  </si>
  <si>
    <t>tokens</t>
  </si>
  <si>
    <t>algorithm</t>
  </si>
  <si>
    <t>TMin</t>
  </si>
  <si>
    <t>TMax</t>
  </si>
  <si>
    <t>TMean</t>
  </si>
  <si>
    <t>TStdev</t>
  </si>
  <si>
    <t>TMedian</t>
  </si>
  <si>
    <t>rhul/earleyTableDataReject/c3.tok.reject</t>
  </si>
  <si>
    <t>ARTEarleyIndexedPool (C)</t>
  </si>
  <si>
    <t>ARTEarleyTableIndexedPool</t>
  </si>
  <si>
    <t>rhul/earleyTableDataReject/pascal2.tok.reject</t>
  </si>
  <si>
    <t>ARTEarleyTableIndexedPool (C)</t>
  </si>
  <si>
    <t>MLWorks/earleyTableDataReject/_yacc.tok.reject</t>
  </si>
  <si>
    <t>rhul/earleyTableDataReject/java3.tok.reject</t>
  </si>
  <si>
    <t>BRNLGR (GTB with Pool)</t>
  </si>
  <si>
    <t>rhul/earleyTableDataReject/java1.tok.reject</t>
  </si>
  <si>
    <t>rhul/earleyTableDataReject/c2.tok.reject</t>
  </si>
  <si>
    <t>MLWorks/earleyTableDataReject/_simplelambda.tok.reject</t>
  </si>
  <si>
    <t>ARTEarleyIndexedPool</t>
  </si>
  <si>
    <t>rhul/earleyTableDataReject/c1.tok.reject</t>
  </si>
  <si>
    <t>MLWorks/earleyTableDataReject/lego_lex.tok.reject</t>
  </si>
  <si>
    <t>rhul/earleyTableDataReject/java2.tok.reject</t>
  </si>
  <si>
    <t>rhul/earleyTableDataReject/pascal1.tok.reject</t>
  </si>
  <si>
    <t>rhul/earleyTableDataReject/cobol1.tok.reject</t>
  </si>
  <si>
    <t xml:space="preserve"> </t>
  </si>
  <si>
    <t>REJECT</t>
  </si>
  <si>
    <t>ACCEPT</t>
  </si>
  <si>
    <t>TMean ratio</t>
  </si>
  <si>
    <t>Ratio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</si>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</sst>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6" fillId="35" borderId="0" xfId="0" applyFont="1" applyFill="1" applyAlignment="1">
      <alignment horizontal="center"/>
    </xf>
    <xf numFmtId="0" fontId="16" fillId="0" borderId="0" xfId="0" applyFont="1"/>
    <xf numFmtId="0" fontId="16" fillId="33" borderId="0" xfId="0" applyFont="1" applyFill="1"/>
    <xf numFmtId="0" fontId="16" fillId="34" borderId="0" xfId="0" applyFont="1" applyFill="1"/>
    <xf numFmtId="0" fontId="16" fillId="35" borderId="0" xfId="0" applyFont="1" applyFill="1"/>
    <xf numFmtId="0" fontId="16" fillId="33" borderId="10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16" fillId="34" borderId="11" xfId="0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8CAD7-3BEA-432E-B733-795ED8AADA76}">
  <dimension ref="A1:R63"/>
  <sheetViews>
    <sheetView tabSelected="1" workbookViewId="0">
      <selection activeCell="Q63" sqref="Q63"/>
    </sheetView>
  </sheetViews>
  <sheetFormatPr defaultRowHeight="15" x14ac:dyDescent="0.25"/>
  <cols>
    <col min="1" max="1" width="53.85546875" bestFit="1" customWidth="1"/>
    <col min="2" max="2" width="6.85546875" bestFit="1" customWidth="1"/>
    <col min="3" max="3" width="28.85546875" bestFit="1" customWidth="1"/>
    <col min="4" max="4" width="6" bestFit="1" customWidth="1"/>
    <col min="5" max="5" width="8" bestFit="1" customWidth="1"/>
    <col min="6" max="6" width="9" bestFit="1" customWidth="1"/>
    <col min="7" max="8" width="8" bestFit="1" customWidth="1"/>
    <col min="9" max="9" width="8.5703125" bestFit="1" customWidth="1"/>
    <col min="11" max="13" width="9" bestFit="1" customWidth="1"/>
    <col min="14" max="14" width="8" bestFit="1" customWidth="1"/>
    <col min="15" max="15" width="9" bestFit="1" customWidth="1"/>
    <col min="17" max="17" width="11.42578125" bestFit="1" customWidth="1"/>
  </cols>
  <sheetData>
    <row r="1" spans="1:17" x14ac:dyDescent="0.25">
      <c r="E1" s="9" t="s">
        <v>26</v>
      </c>
      <c r="F1" s="10"/>
      <c r="G1" s="10"/>
      <c r="H1" s="10"/>
      <c r="I1" s="11"/>
      <c r="K1" s="12" t="s">
        <v>27</v>
      </c>
      <c r="L1" s="13"/>
      <c r="M1" s="13"/>
      <c r="N1" s="13"/>
      <c r="O1" s="14"/>
      <c r="Q1" s="4" t="s">
        <v>29</v>
      </c>
    </row>
    <row r="2" spans="1:17" s="5" customFormat="1" x14ac:dyDescent="0.25">
      <c r="A2" s="5" t="s">
        <v>0</v>
      </c>
      <c r="B2" s="5" t="s">
        <v>1</v>
      </c>
      <c r="C2" s="5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K2" s="7" t="s">
        <v>3</v>
      </c>
      <c r="L2" s="7" t="s">
        <v>4</v>
      </c>
      <c r="M2" s="7" t="s">
        <v>5</v>
      </c>
      <c r="N2" s="7" t="s">
        <v>6</v>
      </c>
      <c r="O2" s="7" t="s">
        <v>7</v>
      </c>
      <c r="Q2" s="8" t="s">
        <v>28</v>
      </c>
    </row>
    <row r="3" spans="1:17" x14ac:dyDescent="0.25">
      <c r="A3" t="s">
        <v>18</v>
      </c>
      <c r="B3">
        <v>18565</v>
      </c>
      <c r="C3" t="s">
        <v>19</v>
      </c>
      <c r="E3" s="1">
        <v>302.928</v>
      </c>
      <c r="F3" s="1">
        <v>429.803</v>
      </c>
      <c r="G3" s="1">
        <v>338.94299999999998</v>
      </c>
      <c r="H3" s="1">
        <v>17.382999999999999</v>
      </c>
      <c r="I3" s="1">
        <v>340.18299999999999</v>
      </c>
      <c r="K3" s="2">
        <v>744.74300000000005</v>
      </c>
      <c r="L3" s="2">
        <v>1059.8969999999999</v>
      </c>
      <c r="M3" s="2">
        <v>813.72</v>
      </c>
      <c r="N3" s="2">
        <v>49.3</v>
      </c>
      <c r="O3" s="2">
        <v>803.46199999999999</v>
      </c>
      <c r="Q3" s="3">
        <f t="shared" ref="Q3:Q50" si="0">G3/M3</f>
        <v>0.41653517180356875</v>
      </c>
    </row>
    <row r="4" spans="1:17" x14ac:dyDescent="0.25">
      <c r="A4" t="s">
        <v>18</v>
      </c>
      <c r="B4">
        <v>18565</v>
      </c>
      <c r="C4" t="s">
        <v>9</v>
      </c>
      <c r="E4" s="1">
        <v>84.305000000000007</v>
      </c>
      <c r="F4" s="1">
        <v>99.27</v>
      </c>
      <c r="G4" s="1">
        <v>91.832999999999998</v>
      </c>
      <c r="H4" s="1">
        <v>1.714</v>
      </c>
      <c r="I4" s="1">
        <v>91.992000000000004</v>
      </c>
      <c r="K4" s="2">
        <v>224.56800000000001</v>
      </c>
      <c r="L4" s="2">
        <v>259.23</v>
      </c>
      <c r="M4" s="2">
        <v>241.98</v>
      </c>
      <c r="N4" s="2">
        <v>3.1709999999999998</v>
      </c>
      <c r="O4" s="2">
        <v>241.88200000000001</v>
      </c>
      <c r="Q4" s="3">
        <f t="shared" si="0"/>
        <v>0.3795065707909745</v>
      </c>
    </row>
    <row r="5" spans="1:17" x14ac:dyDescent="0.25">
      <c r="A5" t="s">
        <v>18</v>
      </c>
      <c r="B5">
        <v>18565</v>
      </c>
      <c r="C5" t="s">
        <v>10</v>
      </c>
      <c r="E5" s="1">
        <v>120.976</v>
      </c>
      <c r="F5" s="1">
        <v>148.58500000000001</v>
      </c>
      <c r="G5" s="1">
        <v>131.99199999999999</v>
      </c>
      <c r="H5" s="1">
        <v>5.0140000000000002</v>
      </c>
      <c r="I5" s="1">
        <v>131.97800000000001</v>
      </c>
      <c r="K5" s="2">
        <v>264.94600000000003</v>
      </c>
      <c r="L5" s="2">
        <v>320.97699999999998</v>
      </c>
      <c r="M5" s="2">
        <v>290.68099999999998</v>
      </c>
      <c r="N5" s="2">
        <v>10.443</v>
      </c>
      <c r="O5" s="2">
        <v>291.50900000000001</v>
      </c>
      <c r="Q5" s="3">
        <f t="shared" si="0"/>
        <v>0.45407852594424813</v>
      </c>
    </row>
    <row r="6" spans="1:17" x14ac:dyDescent="0.25">
      <c r="A6" t="s">
        <v>18</v>
      </c>
      <c r="B6">
        <v>18565</v>
      </c>
      <c r="C6" t="s">
        <v>12</v>
      </c>
      <c r="E6" s="1">
        <v>36.844999999999999</v>
      </c>
      <c r="F6" s="1">
        <v>38.970999999999997</v>
      </c>
      <c r="G6" s="1">
        <v>37.811999999999998</v>
      </c>
      <c r="H6" s="1">
        <v>0.39700000000000002</v>
      </c>
      <c r="I6" s="1">
        <v>37.880000000000003</v>
      </c>
      <c r="K6" s="2">
        <v>77.866</v>
      </c>
      <c r="L6" s="2">
        <v>83.334999999999994</v>
      </c>
      <c r="M6" s="2">
        <v>79.846999999999994</v>
      </c>
      <c r="N6" s="2">
        <v>0.90600000000000003</v>
      </c>
      <c r="O6" s="2">
        <v>79.813999999999993</v>
      </c>
      <c r="Q6" s="3">
        <f t="shared" si="0"/>
        <v>0.47355567522887521</v>
      </c>
    </row>
    <row r="7" spans="1:17" x14ac:dyDescent="0.25">
      <c r="A7" t="s">
        <v>18</v>
      </c>
      <c r="B7">
        <v>18565</v>
      </c>
      <c r="C7" t="s">
        <v>15</v>
      </c>
      <c r="E7" s="1">
        <v>104.105</v>
      </c>
      <c r="F7" s="1">
        <v>111.83199999999999</v>
      </c>
      <c r="G7" s="1">
        <v>108.973</v>
      </c>
      <c r="H7" s="1">
        <v>0.95499999999999996</v>
      </c>
      <c r="I7" s="1">
        <v>108.96599999999999</v>
      </c>
      <c r="K7" s="2">
        <v>327.76400000000001</v>
      </c>
      <c r="L7" s="2">
        <v>369.38099999999997</v>
      </c>
      <c r="M7" s="2">
        <v>346.70299999999997</v>
      </c>
      <c r="N7" s="2">
        <v>6.3860000000000001</v>
      </c>
      <c r="O7" s="2">
        <v>346.04500000000002</v>
      </c>
      <c r="Q7" s="3">
        <f t="shared" si="0"/>
        <v>0.31431224996610935</v>
      </c>
    </row>
    <row r="8" spans="1:17" x14ac:dyDescent="0.25">
      <c r="A8" t="s">
        <v>13</v>
      </c>
      <c r="B8">
        <v>5011</v>
      </c>
      <c r="C8" t="s">
        <v>19</v>
      </c>
      <c r="E8" s="1">
        <v>48.417999999999999</v>
      </c>
      <c r="F8" s="1">
        <v>57.354999999999997</v>
      </c>
      <c r="G8" s="1">
        <v>52.993000000000002</v>
      </c>
      <c r="H8" s="1">
        <v>1.8149999999999999</v>
      </c>
      <c r="I8" s="1">
        <v>53.182000000000002</v>
      </c>
      <c r="K8" s="2">
        <v>82.823999999999998</v>
      </c>
      <c r="L8" s="2">
        <v>103.056</v>
      </c>
      <c r="M8" s="2">
        <v>94.546000000000006</v>
      </c>
      <c r="N8" s="2">
        <v>3.7610000000000001</v>
      </c>
      <c r="O8" s="2">
        <v>95.247</v>
      </c>
      <c r="Q8" s="3">
        <f t="shared" si="0"/>
        <v>0.56049965096355214</v>
      </c>
    </row>
    <row r="9" spans="1:17" x14ac:dyDescent="0.25">
      <c r="A9" t="s">
        <v>13</v>
      </c>
      <c r="B9">
        <v>5011</v>
      </c>
      <c r="C9" t="s">
        <v>9</v>
      </c>
      <c r="E9" s="1">
        <v>15.076000000000001</v>
      </c>
      <c r="F9" s="1">
        <v>16.399000000000001</v>
      </c>
      <c r="G9" s="1">
        <v>15.371</v>
      </c>
      <c r="H9" s="1">
        <v>0.22500000000000001</v>
      </c>
      <c r="I9" s="1">
        <v>15.307</v>
      </c>
      <c r="K9" s="2">
        <v>25.442</v>
      </c>
      <c r="L9" s="2">
        <v>27.704999999999998</v>
      </c>
      <c r="M9" s="2">
        <v>26.704000000000001</v>
      </c>
      <c r="N9" s="2">
        <v>0.32600000000000001</v>
      </c>
      <c r="O9" s="2">
        <v>26.7</v>
      </c>
      <c r="Q9" s="3">
        <f t="shared" si="0"/>
        <v>0.57560665068903538</v>
      </c>
    </row>
    <row r="10" spans="1:17" x14ac:dyDescent="0.25">
      <c r="A10" t="s">
        <v>13</v>
      </c>
      <c r="B10">
        <v>5011</v>
      </c>
      <c r="C10" t="s">
        <v>10</v>
      </c>
      <c r="E10" s="1">
        <v>38.712000000000003</v>
      </c>
      <c r="F10" s="1">
        <v>52.32</v>
      </c>
      <c r="G10" s="1">
        <v>44.203000000000003</v>
      </c>
      <c r="H10" s="1">
        <v>3.6859999999999999</v>
      </c>
      <c r="I10" s="1">
        <v>43.231000000000002</v>
      </c>
      <c r="K10" s="2">
        <v>44.786999999999999</v>
      </c>
      <c r="L10" s="2">
        <v>65.590999999999994</v>
      </c>
      <c r="M10" s="2">
        <v>52.249000000000002</v>
      </c>
      <c r="N10" s="2">
        <v>4.3579999999999997</v>
      </c>
      <c r="O10" s="2">
        <v>50.883000000000003</v>
      </c>
      <c r="Q10" s="3">
        <f t="shared" si="0"/>
        <v>0.84600662213630884</v>
      </c>
    </row>
    <row r="11" spans="1:17" x14ac:dyDescent="0.25">
      <c r="A11" t="s">
        <v>13</v>
      </c>
      <c r="B11">
        <v>5011</v>
      </c>
      <c r="C11" t="s">
        <v>12</v>
      </c>
      <c r="E11" s="1">
        <v>11.335000000000001</v>
      </c>
      <c r="F11" s="1">
        <v>12.367000000000001</v>
      </c>
      <c r="G11" s="1">
        <v>11.724</v>
      </c>
      <c r="H11" s="1">
        <v>0.16900000000000001</v>
      </c>
      <c r="I11" s="1">
        <v>11.734</v>
      </c>
      <c r="K11" s="2">
        <v>15.742000000000001</v>
      </c>
      <c r="L11" s="2">
        <v>17.353999999999999</v>
      </c>
      <c r="M11" s="2">
        <v>16.213000000000001</v>
      </c>
      <c r="N11" s="2">
        <v>0.249</v>
      </c>
      <c r="O11" s="2">
        <v>16.172999999999998</v>
      </c>
      <c r="Q11" s="3">
        <f t="shared" si="0"/>
        <v>0.72312341947819647</v>
      </c>
    </row>
    <row r="12" spans="1:17" x14ac:dyDescent="0.25">
      <c r="A12" t="s">
        <v>13</v>
      </c>
      <c r="B12">
        <v>5011</v>
      </c>
      <c r="C12" t="s">
        <v>15</v>
      </c>
      <c r="E12" s="1">
        <v>11.984999999999999</v>
      </c>
      <c r="F12" s="1">
        <v>13.374000000000001</v>
      </c>
      <c r="G12" s="1">
        <v>12.468999999999999</v>
      </c>
      <c r="H12" s="1">
        <v>0.215</v>
      </c>
      <c r="I12" s="1">
        <v>12.474</v>
      </c>
      <c r="K12" s="2">
        <v>29.338999999999999</v>
      </c>
      <c r="L12" s="2">
        <v>33.965000000000003</v>
      </c>
      <c r="M12" s="2">
        <v>31.062999999999999</v>
      </c>
      <c r="N12" s="2">
        <v>0.51200000000000001</v>
      </c>
      <c r="O12" s="2">
        <v>31.088000000000001</v>
      </c>
      <c r="Q12" s="3">
        <f t="shared" si="0"/>
        <v>0.40141003766538969</v>
      </c>
    </row>
    <row r="13" spans="1:17" x14ac:dyDescent="0.25">
      <c r="A13" t="s">
        <v>21</v>
      </c>
      <c r="B13">
        <v>3031</v>
      </c>
      <c r="C13" t="s">
        <v>19</v>
      </c>
      <c r="E13" s="1">
        <v>37.933999999999997</v>
      </c>
      <c r="F13" s="1">
        <v>46.960999999999999</v>
      </c>
      <c r="G13" s="1">
        <v>41.667999999999999</v>
      </c>
      <c r="H13" s="1">
        <v>1.36</v>
      </c>
      <c r="I13" s="1">
        <v>41.726999999999997</v>
      </c>
      <c r="K13" s="2">
        <v>54.436</v>
      </c>
      <c r="L13" s="2">
        <v>62.404000000000003</v>
      </c>
      <c r="M13" s="2">
        <v>59.026000000000003</v>
      </c>
      <c r="N13" s="2">
        <v>1.7569999999999999</v>
      </c>
      <c r="O13" s="2">
        <v>59.052999999999997</v>
      </c>
      <c r="Q13" s="3">
        <f t="shared" si="0"/>
        <v>0.70592620201267231</v>
      </c>
    </row>
    <row r="14" spans="1:17" x14ac:dyDescent="0.25">
      <c r="A14" t="s">
        <v>21</v>
      </c>
      <c r="B14">
        <v>3031</v>
      </c>
      <c r="C14" t="s">
        <v>9</v>
      </c>
      <c r="E14" s="1">
        <v>8.9269999999999996</v>
      </c>
      <c r="F14" s="1">
        <v>9.657</v>
      </c>
      <c r="G14" s="1">
        <v>9.11</v>
      </c>
      <c r="H14" s="1">
        <v>0.151</v>
      </c>
      <c r="I14" s="1">
        <v>9.0540000000000003</v>
      </c>
      <c r="K14" s="2">
        <v>13.343999999999999</v>
      </c>
      <c r="L14" s="2">
        <v>14.317</v>
      </c>
      <c r="M14" s="2">
        <v>13.635</v>
      </c>
      <c r="N14" s="2">
        <v>0.17499999999999999</v>
      </c>
      <c r="O14" s="2">
        <v>13.589</v>
      </c>
      <c r="Q14" s="3">
        <f t="shared" si="0"/>
        <v>0.6681334800146681</v>
      </c>
    </row>
    <row r="15" spans="1:17" x14ac:dyDescent="0.25">
      <c r="A15" t="s">
        <v>21</v>
      </c>
      <c r="B15">
        <v>3031</v>
      </c>
      <c r="C15" t="s">
        <v>10</v>
      </c>
      <c r="E15" s="1">
        <v>31.475999999999999</v>
      </c>
      <c r="F15" s="1">
        <v>45.356000000000002</v>
      </c>
      <c r="G15" s="1">
        <v>37.069000000000003</v>
      </c>
      <c r="H15" s="1">
        <v>3.988</v>
      </c>
      <c r="I15" s="1">
        <v>34.841000000000001</v>
      </c>
      <c r="K15" s="2">
        <v>35.454999999999998</v>
      </c>
      <c r="L15" s="2">
        <v>49.203000000000003</v>
      </c>
      <c r="M15" s="2">
        <v>41.813000000000002</v>
      </c>
      <c r="N15" s="2">
        <v>4.2469999999999999</v>
      </c>
      <c r="O15" s="2">
        <v>43.039000000000001</v>
      </c>
      <c r="Q15" s="3">
        <f t="shared" si="0"/>
        <v>0.88654246287039917</v>
      </c>
    </row>
    <row r="16" spans="1:17" x14ac:dyDescent="0.25">
      <c r="A16" t="s">
        <v>21</v>
      </c>
      <c r="B16">
        <v>3031</v>
      </c>
      <c r="C16" t="s">
        <v>12</v>
      </c>
      <c r="E16" s="1">
        <v>7.9089999999999998</v>
      </c>
      <c r="F16" s="1">
        <v>9.1780000000000008</v>
      </c>
      <c r="G16" s="1">
        <v>8.2829999999999995</v>
      </c>
      <c r="H16" s="1">
        <v>0.17699999999999999</v>
      </c>
      <c r="I16" s="1">
        <v>8.2669999999999995</v>
      </c>
      <c r="K16" s="2">
        <v>10.064</v>
      </c>
      <c r="L16" s="2">
        <v>11.202</v>
      </c>
      <c r="M16" s="2">
        <v>10.457000000000001</v>
      </c>
      <c r="N16" s="2">
        <v>0.18099999999999999</v>
      </c>
      <c r="O16" s="2">
        <v>10.433</v>
      </c>
      <c r="Q16" s="3">
        <f t="shared" si="0"/>
        <v>0.79210098498613357</v>
      </c>
    </row>
    <row r="17" spans="1:17" x14ac:dyDescent="0.25">
      <c r="A17" t="s">
        <v>21</v>
      </c>
      <c r="B17">
        <v>3031</v>
      </c>
      <c r="C17" t="s">
        <v>15</v>
      </c>
      <c r="E17" s="1">
        <v>6.5439999999999996</v>
      </c>
      <c r="F17" s="1">
        <v>8.0190000000000001</v>
      </c>
      <c r="G17" s="1">
        <v>7.016</v>
      </c>
      <c r="H17" s="1">
        <v>0.20200000000000001</v>
      </c>
      <c r="I17" s="1">
        <v>6.9980000000000002</v>
      </c>
      <c r="K17" s="2">
        <v>12.148999999999999</v>
      </c>
      <c r="L17" s="2">
        <v>16.106999999999999</v>
      </c>
      <c r="M17" s="2">
        <v>13.028</v>
      </c>
      <c r="N17" s="2">
        <v>0.39400000000000002</v>
      </c>
      <c r="O17" s="2">
        <v>13.003</v>
      </c>
      <c r="Q17" s="3">
        <f t="shared" si="0"/>
        <v>0.53853239177156886</v>
      </c>
    </row>
    <row r="18" spans="1:17" x14ac:dyDescent="0.25">
      <c r="A18" t="s">
        <v>20</v>
      </c>
      <c r="B18">
        <v>4291</v>
      </c>
      <c r="C18" t="s">
        <v>19</v>
      </c>
      <c r="E18" s="1">
        <v>49.268000000000001</v>
      </c>
      <c r="F18" s="1">
        <v>62.433999999999997</v>
      </c>
      <c r="G18" s="1">
        <v>55.13</v>
      </c>
      <c r="H18" s="1">
        <v>2.573</v>
      </c>
      <c r="I18" s="1">
        <v>55.595999999999997</v>
      </c>
      <c r="K18" s="2">
        <v>82.150999999999996</v>
      </c>
      <c r="L18" s="2">
        <v>104.563</v>
      </c>
      <c r="M18" s="2">
        <v>94.022000000000006</v>
      </c>
      <c r="N18" s="2">
        <v>3.8929999999999998</v>
      </c>
      <c r="O18" s="2">
        <v>94.600999999999999</v>
      </c>
      <c r="Q18" s="3">
        <f t="shared" si="0"/>
        <v>0.58635213035247069</v>
      </c>
    </row>
    <row r="19" spans="1:17" x14ac:dyDescent="0.25">
      <c r="A19" t="s">
        <v>20</v>
      </c>
      <c r="B19">
        <v>4291</v>
      </c>
      <c r="C19" t="s">
        <v>9</v>
      </c>
      <c r="E19" s="1">
        <v>15.849</v>
      </c>
      <c r="F19" s="1">
        <v>17.654</v>
      </c>
      <c r="G19" s="1">
        <v>16.151</v>
      </c>
      <c r="H19" s="1">
        <v>0.307</v>
      </c>
      <c r="I19" s="1">
        <v>16.03</v>
      </c>
      <c r="K19" s="2">
        <v>27.215</v>
      </c>
      <c r="L19" s="2">
        <v>32.238</v>
      </c>
      <c r="M19" s="2">
        <v>28.446000000000002</v>
      </c>
      <c r="N19" s="2">
        <v>0.64</v>
      </c>
      <c r="O19" s="2">
        <v>28.358000000000001</v>
      </c>
      <c r="Q19" s="3">
        <f t="shared" si="0"/>
        <v>0.56777754341559439</v>
      </c>
    </row>
    <row r="20" spans="1:17" x14ac:dyDescent="0.25">
      <c r="A20" t="s">
        <v>20</v>
      </c>
      <c r="B20">
        <v>4291</v>
      </c>
      <c r="C20" t="s">
        <v>10</v>
      </c>
      <c r="E20" s="1">
        <v>32.243000000000002</v>
      </c>
      <c r="F20" s="1">
        <v>42.588000000000001</v>
      </c>
      <c r="G20" s="1">
        <v>36.613999999999997</v>
      </c>
      <c r="H20" s="1">
        <v>2.673</v>
      </c>
      <c r="I20" s="1">
        <v>35.837000000000003</v>
      </c>
      <c r="K20" s="2">
        <v>34.999000000000002</v>
      </c>
      <c r="L20" s="2">
        <v>48.281999999999996</v>
      </c>
      <c r="M20" s="2">
        <v>41.067</v>
      </c>
      <c r="N20" s="2">
        <v>2.9470000000000001</v>
      </c>
      <c r="O20" s="2">
        <v>40.298000000000002</v>
      </c>
      <c r="Q20" s="3">
        <f t="shared" si="0"/>
        <v>0.89156743857598553</v>
      </c>
    </row>
    <row r="21" spans="1:17" x14ac:dyDescent="0.25">
      <c r="A21" t="s">
        <v>20</v>
      </c>
      <c r="B21">
        <v>4291</v>
      </c>
      <c r="C21" t="s">
        <v>12</v>
      </c>
      <c r="E21" s="1">
        <v>8.8940000000000001</v>
      </c>
      <c r="F21" s="1">
        <v>9.8379999999999992</v>
      </c>
      <c r="G21" s="1">
        <v>9.157</v>
      </c>
      <c r="H21" s="1">
        <v>0.184</v>
      </c>
      <c r="I21" s="1">
        <v>9.1270000000000007</v>
      </c>
      <c r="K21" s="2">
        <v>11.409000000000001</v>
      </c>
      <c r="L21" s="2">
        <v>12.273999999999999</v>
      </c>
      <c r="M21" s="2">
        <v>11.669</v>
      </c>
      <c r="N21" s="2">
        <v>0.16200000000000001</v>
      </c>
      <c r="O21" s="2">
        <v>11.664</v>
      </c>
      <c r="Q21" s="3">
        <f t="shared" si="0"/>
        <v>0.7847287685320079</v>
      </c>
    </row>
    <row r="22" spans="1:17" x14ac:dyDescent="0.25">
      <c r="A22" t="s">
        <v>20</v>
      </c>
      <c r="B22">
        <v>4291</v>
      </c>
      <c r="C22" t="s">
        <v>15</v>
      </c>
      <c r="E22" s="1">
        <v>7.9630000000000001</v>
      </c>
      <c r="F22" s="1">
        <v>13.058</v>
      </c>
      <c r="G22" s="1">
        <v>8.9619999999999997</v>
      </c>
      <c r="H22" s="1">
        <v>0.86299999999999999</v>
      </c>
      <c r="I22" s="1">
        <v>8.7309999999999999</v>
      </c>
      <c r="K22" s="2">
        <v>14.87</v>
      </c>
      <c r="L22" s="2">
        <v>17.960999999999999</v>
      </c>
      <c r="M22" s="2">
        <v>15.696</v>
      </c>
      <c r="N22" s="2">
        <v>0.48399999999999999</v>
      </c>
      <c r="O22" s="2">
        <v>15.590999999999999</v>
      </c>
      <c r="Q22" s="3">
        <f t="shared" si="0"/>
        <v>0.57097349643221207</v>
      </c>
    </row>
    <row r="23" spans="1:17" x14ac:dyDescent="0.25">
      <c r="A23" t="s">
        <v>17</v>
      </c>
      <c r="B23">
        <v>26551</v>
      </c>
      <c r="C23" t="s">
        <v>19</v>
      </c>
      <c r="E23" s="1">
        <v>258.17500000000001</v>
      </c>
      <c r="F23" s="1">
        <v>511.51499999999999</v>
      </c>
      <c r="G23" s="1">
        <v>335.63</v>
      </c>
      <c r="H23" s="1">
        <v>63.215000000000003</v>
      </c>
      <c r="I23" s="1">
        <v>304.90199999999999</v>
      </c>
      <c r="K23" s="2">
        <v>484.012</v>
      </c>
      <c r="L23" s="2">
        <v>983.52499999999998</v>
      </c>
      <c r="M23" s="2">
        <v>639.65300000000002</v>
      </c>
      <c r="N23" s="2">
        <v>100.825</v>
      </c>
      <c r="O23" s="2">
        <v>641.77599999999995</v>
      </c>
      <c r="Q23" s="3">
        <f t="shared" si="0"/>
        <v>0.5247063642318569</v>
      </c>
    </row>
    <row r="24" spans="1:17" x14ac:dyDescent="0.25">
      <c r="A24" t="s">
        <v>17</v>
      </c>
      <c r="B24">
        <v>26551</v>
      </c>
      <c r="C24" t="s">
        <v>9</v>
      </c>
      <c r="E24" s="1">
        <v>107.581</v>
      </c>
      <c r="F24" s="1">
        <v>118.849</v>
      </c>
      <c r="G24" s="1">
        <v>116.48099999999999</v>
      </c>
      <c r="H24" s="1">
        <v>1.6259999999999999</v>
      </c>
      <c r="I24" s="1">
        <v>116.651</v>
      </c>
      <c r="K24" s="2">
        <v>182.21799999999999</v>
      </c>
      <c r="L24" s="2">
        <v>217.62200000000001</v>
      </c>
      <c r="M24" s="2">
        <v>196.28399999999999</v>
      </c>
      <c r="N24" s="2">
        <v>4.0730000000000004</v>
      </c>
      <c r="O24" s="2">
        <v>196.58799999999999</v>
      </c>
      <c r="Q24" s="3">
        <f t="shared" si="0"/>
        <v>0.59343094699517029</v>
      </c>
    </row>
    <row r="25" spans="1:17" x14ac:dyDescent="0.25">
      <c r="A25" t="s">
        <v>17</v>
      </c>
      <c r="B25">
        <v>26551</v>
      </c>
      <c r="C25" t="s">
        <v>10</v>
      </c>
      <c r="E25" s="1">
        <v>87.364000000000004</v>
      </c>
      <c r="F25" s="1">
        <v>111.917</v>
      </c>
      <c r="G25" s="1">
        <v>97.394999999999996</v>
      </c>
      <c r="H25" s="1">
        <v>5.3449999999999998</v>
      </c>
      <c r="I25" s="1">
        <v>96.748000000000005</v>
      </c>
      <c r="K25" s="2">
        <v>109.49</v>
      </c>
      <c r="L25" s="2">
        <v>140.529</v>
      </c>
      <c r="M25" s="2">
        <v>119.426</v>
      </c>
      <c r="N25" s="2">
        <v>5.5940000000000003</v>
      </c>
      <c r="O25" s="2">
        <v>118.399</v>
      </c>
      <c r="Q25" s="3">
        <f t="shared" si="0"/>
        <v>0.81552593237653437</v>
      </c>
    </row>
    <row r="26" spans="1:17" x14ac:dyDescent="0.25">
      <c r="A26" t="s">
        <v>17</v>
      </c>
      <c r="B26">
        <v>26551</v>
      </c>
      <c r="C26" t="s">
        <v>12</v>
      </c>
      <c r="E26" s="1">
        <v>35.165999999999997</v>
      </c>
      <c r="F26" s="1">
        <v>36.283000000000001</v>
      </c>
      <c r="G26" s="1">
        <v>35.831000000000003</v>
      </c>
      <c r="H26" s="1">
        <v>0.32400000000000001</v>
      </c>
      <c r="I26" s="1">
        <v>35.975999999999999</v>
      </c>
      <c r="K26" s="2">
        <v>49.844999999999999</v>
      </c>
      <c r="L26" s="2">
        <v>59.756</v>
      </c>
      <c r="M26" s="2">
        <v>51.180999999999997</v>
      </c>
      <c r="N26" s="2">
        <v>1.1579999999999999</v>
      </c>
      <c r="O26" s="2">
        <v>51.018999999999998</v>
      </c>
      <c r="Q26" s="3">
        <f t="shared" si="0"/>
        <v>0.70008401555264654</v>
      </c>
    </row>
    <row r="27" spans="1:17" x14ac:dyDescent="0.25">
      <c r="A27" t="s">
        <v>17</v>
      </c>
      <c r="B27">
        <v>26551</v>
      </c>
      <c r="C27" t="s">
        <v>15</v>
      </c>
      <c r="E27" s="1">
        <v>53.868000000000002</v>
      </c>
      <c r="F27" s="1">
        <v>99.834999999999994</v>
      </c>
      <c r="G27" s="1">
        <v>63.811</v>
      </c>
      <c r="H27" s="1">
        <v>10.867000000000001</v>
      </c>
      <c r="I27" s="1">
        <v>59.622999999999998</v>
      </c>
      <c r="K27" s="2">
        <v>100.72799999999999</v>
      </c>
      <c r="L27" s="2">
        <v>202.57599999999999</v>
      </c>
      <c r="M27" s="2">
        <v>114.46899999999999</v>
      </c>
      <c r="N27" s="2">
        <v>15.161</v>
      </c>
      <c r="O27" s="2">
        <v>110.605</v>
      </c>
      <c r="Q27" s="3">
        <f t="shared" si="0"/>
        <v>0.55745223597655258</v>
      </c>
    </row>
    <row r="28" spans="1:17" x14ac:dyDescent="0.25">
      <c r="A28" t="s">
        <v>8</v>
      </c>
      <c r="B28">
        <v>36827</v>
      </c>
      <c r="C28" t="s">
        <v>19</v>
      </c>
      <c r="E28" s="1">
        <v>347.79500000000002</v>
      </c>
      <c r="F28" s="1">
        <v>647.83500000000004</v>
      </c>
      <c r="G28" s="1">
        <v>475.28899999999999</v>
      </c>
      <c r="H28" s="1">
        <v>76.316000000000003</v>
      </c>
      <c r="I28" s="1">
        <v>499.642</v>
      </c>
      <c r="K28" s="2">
        <v>612.70799999999997</v>
      </c>
      <c r="L28" s="2">
        <v>908.75900000000001</v>
      </c>
      <c r="M28" s="2">
        <v>748.92899999999997</v>
      </c>
      <c r="N28" s="2">
        <v>68.081999999999994</v>
      </c>
      <c r="O28" s="2">
        <v>759.78800000000001</v>
      </c>
      <c r="Q28" s="3">
        <f t="shared" si="0"/>
        <v>0.63462491103963126</v>
      </c>
    </row>
    <row r="29" spans="1:17" x14ac:dyDescent="0.25">
      <c r="A29" t="s">
        <v>8</v>
      </c>
      <c r="B29">
        <v>36827</v>
      </c>
      <c r="C29" t="s">
        <v>9</v>
      </c>
      <c r="E29" s="1">
        <v>142.65299999999999</v>
      </c>
      <c r="F29" s="1">
        <v>159.791</v>
      </c>
      <c r="G29" s="1">
        <v>154.81299999999999</v>
      </c>
      <c r="H29" s="1">
        <v>2.8069999999999999</v>
      </c>
      <c r="I29" s="1">
        <v>155.00399999999999</v>
      </c>
      <c r="K29" s="2">
        <v>248.6</v>
      </c>
      <c r="L29" s="2">
        <v>289.55500000000001</v>
      </c>
      <c r="M29" s="2">
        <v>268.03300000000002</v>
      </c>
      <c r="N29" s="2">
        <v>6.1520000000000001</v>
      </c>
      <c r="O29" s="2">
        <v>268.928</v>
      </c>
      <c r="Q29" s="3">
        <f t="shared" si="0"/>
        <v>0.57758932668738538</v>
      </c>
    </row>
    <row r="30" spans="1:17" x14ac:dyDescent="0.25">
      <c r="A30" t="s">
        <v>8</v>
      </c>
      <c r="B30">
        <v>36827</v>
      </c>
      <c r="C30" t="s">
        <v>10</v>
      </c>
      <c r="E30" s="1">
        <v>115.563</v>
      </c>
      <c r="F30" s="1">
        <v>164.91900000000001</v>
      </c>
      <c r="G30" s="1">
        <v>130.16900000000001</v>
      </c>
      <c r="H30" s="1">
        <v>9.3190000000000008</v>
      </c>
      <c r="I30" s="1">
        <v>129.21700000000001</v>
      </c>
      <c r="K30" s="2">
        <v>141.96</v>
      </c>
      <c r="L30" s="2">
        <v>185.88900000000001</v>
      </c>
      <c r="M30" s="2">
        <v>157.66800000000001</v>
      </c>
      <c r="N30" s="2">
        <v>10.250999999999999</v>
      </c>
      <c r="O30" s="2">
        <v>153.94999999999999</v>
      </c>
      <c r="Q30" s="3">
        <f t="shared" si="0"/>
        <v>0.82558921277621333</v>
      </c>
    </row>
    <row r="31" spans="1:17" x14ac:dyDescent="0.25">
      <c r="A31" t="s">
        <v>8</v>
      </c>
      <c r="B31">
        <v>36827</v>
      </c>
      <c r="C31" t="s">
        <v>12</v>
      </c>
      <c r="E31" s="1">
        <v>47.512999999999998</v>
      </c>
      <c r="F31" s="1">
        <v>54.353000000000002</v>
      </c>
      <c r="G31" s="1">
        <v>48.366</v>
      </c>
      <c r="H31" s="1">
        <v>0.77500000000000002</v>
      </c>
      <c r="I31" s="1">
        <v>48.481999999999999</v>
      </c>
      <c r="K31" s="2">
        <v>68.244</v>
      </c>
      <c r="L31" s="2">
        <v>75.069000000000003</v>
      </c>
      <c r="M31" s="2">
        <v>69.228999999999999</v>
      </c>
      <c r="N31" s="2">
        <v>0.875</v>
      </c>
      <c r="O31" s="2">
        <v>69.495000000000005</v>
      </c>
      <c r="Q31" s="3">
        <f t="shared" si="0"/>
        <v>0.6986378540784931</v>
      </c>
    </row>
    <row r="32" spans="1:17" x14ac:dyDescent="0.25">
      <c r="A32" t="s">
        <v>8</v>
      </c>
      <c r="B32">
        <v>36827</v>
      </c>
      <c r="C32" t="s">
        <v>15</v>
      </c>
      <c r="E32" s="1">
        <v>78.173000000000002</v>
      </c>
      <c r="F32" s="1">
        <v>142.18299999999999</v>
      </c>
      <c r="G32" s="1">
        <v>87.179000000000002</v>
      </c>
      <c r="H32" s="1">
        <v>13.497</v>
      </c>
      <c r="I32" s="1">
        <v>84.278000000000006</v>
      </c>
      <c r="K32" s="2">
        <v>149.57300000000001</v>
      </c>
      <c r="L32" s="2">
        <v>276.53800000000001</v>
      </c>
      <c r="M32" s="2">
        <v>176.40600000000001</v>
      </c>
      <c r="N32" s="2">
        <v>23.294</v>
      </c>
      <c r="O32" s="2">
        <v>168.411</v>
      </c>
      <c r="Q32" s="3">
        <f t="shared" si="0"/>
        <v>0.49419520877974671</v>
      </c>
    </row>
    <row r="33" spans="1:17" x14ac:dyDescent="0.25">
      <c r="A33" t="s">
        <v>24</v>
      </c>
      <c r="B33">
        <v>2197</v>
      </c>
      <c r="C33" t="s">
        <v>19</v>
      </c>
      <c r="E33" s="1">
        <v>25.861999999999998</v>
      </c>
      <c r="F33" s="1">
        <v>30.824999999999999</v>
      </c>
      <c r="G33" s="1">
        <v>28.343</v>
      </c>
      <c r="H33" s="1">
        <v>1.087</v>
      </c>
      <c r="I33" s="1">
        <v>28.468</v>
      </c>
      <c r="K33" s="2">
        <v>91.96</v>
      </c>
      <c r="L33" s="2">
        <v>146.33500000000001</v>
      </c>
      <c r="M33" s="2">
        <v>123.137</v>
      </c>
      <c r="N33" s="2">
        <v>15.891</v>
      </c>
      <c r="O33" s="2">
        <v>127.19499999999999</v>
      </c>
      <c r="Q33" s="3">
        <f t="shared" si="0"/>
        <v>0.23017452106190667</v>
      </c>
    </row>
    <row r="34" spans="1:17" x14ac:dyDescent="0.25">
      <c r="A34" t="s">
        <v>24</v>
      </c>
      <c r="B34">
        <v>2197</v>
      </c>
      <c r="C34" t="s">
        <v>9</v>
      </c>
      <c r="E34" s="1">
        <v>4.9770000000000003</v>
      </c>
      <c r="F34" s="1">
        <v>5.66</v>
      </c>
      <c r="G34" s="1">
        <v>5.1680000000000001</v>
      </c>
      <c r="H34" s="1">
        <v>0.13</v>
      </c>
      <c r="I34" s="1">
        <v>5.1440000000000001</v>
      </c>
      <c r="K34" s="2">
        <v>10.244</v>
      </c>
      <c r="L34" s="2">
        <v>12.260999999999999</v>
      </c>
      <c r="M34" s="2">
        <v>10.858000000000001</v>
      </c>
      <c r="N34" s="2">
        <v>0.46200000000000002</v>
      </c>
      <c r="O34" s="2">
        <v>10.753</v>
      </c>
      <c r="Q34" s="3">
        <f t="shared" si="0"/>
        <v>0.47596242401915639</v>
      </c>
    </row>
    <row r="35" spans="1:17" x14ac:dyDescent="0.25">
      <c r="A35" t="s">
        <v>24</v>
      </c>
      <c r="B35">
        <v>2197</v>
      </c>
      <c r="C35" t="s">
        <v>10</v>
      </c>
      <c r="E35" s="1">
        <v>18.021999999999998</v>
      </c>
      <c r="F35" s="1">
        <v>30.010999999999999</v>
      </c>
      <c r="G35" s="1">
        <v>23.443999999999999</v>
      </c>
      <c r="H35" s="1">
        <v>2.5670000000000002</v>
      </c>
      <c r="I35" s="1">
        <v>23.337</v>
      </c>
      <c r="K35" s="2">
        <v>27.207999999999998</v>
      </c>
      <c r="L35" s="2">
        <v>57.222000000000001</v>
      </c>
      <c r="M35" s="2">
        <v>41.215000000000003</v>
      </c>
      <c r="N35" s="2">
        <v>6.3689999999999998</v>
      </c>
      <c r="O35" s="2">
        <v>40.811</v>
      </c>
      <c r="Q35" s="3">
        <f t="shared" si="0"/>
        <v>0.56882203081402394</v>
      </c>
    </row>
    <row r="36" spans="1:17" x14ac:dyDescent="0.25">
      <c r="A36" t="s">
        <v>24</v>
      </c>
      <c r="B36">
        <v>2197</v>
      </c>
      <c r="C36" t="s">
        <v>15</v>
      </c>
      <c r="E36" s="1">
        <v>3.1240000000000001</v>
      </c>
      <c r="F36" s="1">
        <v>3.7509999999999999</v>
      </c>
      <c r="G36" s="1">
        <v>3.3650000000000002</v>
      </c>
      <c r="H36" s="1">
        <v>0.151</v>
      </c>
      <c r="I36" s="1">
        <v>3.3250000000000002</v>
      </c>
      <c r="K36" s="2">
        <v>13.523</v>
      </c>
      <c r="L36" s="2">
        <v>32.365000000000002</v>
      </c>
      <c r="M36" s="2">
        <v>14.516</v>
      </c>
      <c r="N36" s="2">
        <v>1.8520000000000001</v>
      </c>
      <c r="O36" s="2">
        <v>14.33</v>
      </c>
      <c r="Q36" s="3">
        <f t="shared" si="0"/>
        <v>0.2318131716726371</v>
      </c>
    </row>
    <row r="37" spans="1:17" x14ac:dyDescent="0.25">
      <c r="A37" t="s">
        <v>16</v>
      </c>
      <c r="B37">
        <v>1429</v>
      </c>
      <c r="C37" t="s">
        <v>19</v>
      </c>
      <c r="E37" s="1">
        <v>35.012</v>
      </c>
      <c r="F37" s="1">
        <v>51.970999999999997</v>
      </c>
      <c r="G37" s="1">
        <v>40.087000000000003</v>
      </c>
      <c r="H37" s="1">
        <v>2.177</v>
      </c>
      <c r="I37" s="1">
        <v>40.253</v>
      </c>
      <c r="K37" s="2">
        <v>62.96</v>
      </c>
      <c r="L37" s="2">
        <v>80.531000000000006</v>
      </c>
      <c r="M37" s="2">
        <v>70.984999999999999</v>
      </c>
      <c r="N37" s="2">
        <v>3.2320000000000002</v>
      </c>
      <c r="O37" s="2">
        <v>71.376999999999995</v>
      </c>
      <c r="Q37" s="3">
        <f t="shared" si="0"/>
        <v>0.56472494188913158</v>
      </c>
    </row>
    <row r="38" spans="1:17" x14ac:dyDescent="0.25">
      <c r="A38" t="s">
        <v>16</v>
      </c>
      <c r="B38">
        <v>1429</v>
      </c>
      <c r="C38" t="s">
        <v>9</v>
      </c>
      <c r="E38" s="1">
        <v>8.4329999999999998</v>
      </c>
      <c r="F38" s="1">
        <v>9.7560000000000002</v>
      </c>
      <c r="G38" s="1">
        <v>8.875</v>
      </c>
      <c r="H38" s="1">
        <v>0.21199999999999999</v>
      </c>
      <c r="I38" s="1">
        <v>8.8550000000000004</v>
      </c>
      <c r="K38" s="2">
        <v>16.585999999999999</v>
      </c>
      <c r="L38" s="2">
        <v>18.609000000000002</v>
      </c>
      <c r="M38" s="2">
        <v>16.954000000000001</v>
      </c>
      <c r="N38" s="2">
        <v>0.33800000000000002</v>
      </c>
      <c r="O38" s="2">
        <v>16.846</v>
      </c>
      <c r="Q38" s="3">
        <f t="shared" si="0"/>
        <v>0.5234752860681845</v>
      </c>
    </row>
    <row r="39" spans="1:17" x14ac:dyDescent="0.25">
      <c r="A39" t="s">
        <v>16</v>
      </c>
      <c r="B39">
        <v>1429</v>
      </c>
      <c r="C39" t="s">
        <v>10</v>
      </c>
      <c r="E39" s="1">
        <v>18.939</v>
      </c>
      <c r="F39" s="1">
        <v>33.679000000000002</v>
      </c>
      <c r="G39" s="1">
        <v>23.603000000000002</v>
      </c>
      <c r="H39" s="1">
        <v>2.081</v>
      </c>
      <c r="I39" s="1">
        <v>23.228999999999999</v>
      </c>
      <c r="K39" s="2">
        <v>24.574999999999999</v>
      </c>
      <c r="L39" s="2">
        <v>37.457000000000001</v>
      </c>
      <c r="M39" s="2">
        <v>29.152000000000001</v>
      </c>
      <c r="N39" s="2">
        <v>2.004</v>
      </c>
      <c r="O39" s="2">
        <v>28.864999999999998</v>
      </c>
      <c r="Q39" s="3">
        <f t="shared" si="0"/>
        <v>0.80965285400658615</v>
      </c>
    </row>
    <row r="40" spans="1:17" x14ac:dyDescent="0.25">
      <c r="A40" t="s">
        <v>16</v>
      </c>
      <c r="B40">
        <v>1429</v>
      </c>
      <c r="C40" t="s">
        <v>12</v>
      </c>
      <c r="E40" s="1">
        <v>6.9889999999999999</v>
      </c>
      <c r="F40" s="1">
        <v>8.1980000000000004</v>
      </c>
      <c r="G40" s="1">
        <v>7.4020000000000001</v>
      </c>
      <c r="H40" s="1">
        <v>0.20100000000000001</v>
      </c>
      <c r="I40" s="1">
        <v>7.4219999999999997</v>
      </c>
      <c r="K40" s="2">
        <v>10.058</v>
      </c>
      <c r="L40" s="2">
        <v>11.07</v>
      </c>
      <c r="M40" s="2">
        <v>10.339</v>
      </c>
      <c r="N40" s="2">
        <v>0.215</v>
      </c>
      <c r="O40" s="2">
        <v>10.303000000000001</v>
      </c>
      <c r="Q40" s="3">
        <f t="shared" si="0"/>
        <v>0.71592997388528867</v>
      </c>
    </row>
    <row r="41" spans="1:17" x14ac:dyDescent="0.25">
      <c r="A41" t="s">
        <v>16</v>
      </c>
      <c r="B41">
        <v>1429</v>
      </c>
      <c r="C41" t="s">
        <v>15</v>
      </c>
      <c r="E41" s="1">
        <v>4.6150000000000002</v>
      </c>
      <c r="F41" s="1">
        <v>5.1459999999999999</v>
      </c>
      <c r="G41" s="1">
        <v>4.915</v>
      </c>
      <c r="H41" s="1">
        <v>9.4E-2</v>
      </c>
      <c r="I41" s="1">
        <v>4.9020000000000001</v>
      </c>
      <c r="K41" s="2">
        <v>10.061</v>
      </c>
      <c r="L41" s="2">
        <v>12.362</v>
      </c>
      <c r="M41" s="2">
        <v>10.786</v>
      </c>
      <c r="N41" s="2">
        <v>0.29099999999999998</v>
      </c>
      <c r="O41" s="2">
        <v>10.792999999999999</v>
      </c>
      <c r="Q41" s="3">
        <f t="shared" si="0"/>
        <v>0.45568329315779715</v>
      </c>
    </row>
    <row r="42" spans="1:17" x14ac:dyDescent="0.25">
      <c r="A42" t="s">
        <v>22</v>
      </c>
      <c r="B42">
        <v>19085</v>
      </c>
      <c r="C42" t="s">
        <v>19</v>
      </c>
      <c r="E42" s="1">
        <v>370.22899999999998</v>
      </c>
      <c r="F42" s="1">
        <v>813.34299999999996</v>
      </c>
      <c r="G42" s="1">
        <v>568.51199999999994</v>
      </c>
      <c r="H42" s="1">
        <v>101.751</v>
      </c>
      <c r="I42" s="1">
        <v>588.08399999999995</v>
      </c>
      <c r="K42" s="2">
        <v>731.101</v>
      </c>
      <c r="L42" s="2">
        <v>1296.681</v>
      </c>
      <c r="M42" s="2">
        <v>940.29200000000003</v>
      </c>
      <c r="N42" s="2">
        <v>112.967</v>
      </c>
      <c r="O42" s="2">
        <v>951.64200000000005</v>
      </c>
      <c r="Q42" s="3">
        <f t="shared" si="0"/>
        <v>0.60461218430019603</v>
      </c>
    </row>
    <row r="43" spans="1:17" x14ac:dyDescent="0.25">
      <c r="A43" t="s">
        <v>22</v>
      </c>
      <c r="B43">
        <v>19085</v>
      </c>
      <c r="C43" t="s">
        <v>9</v>
      </c>
      <c r="E43" s="1">
        <v>127.821</v>
      </c>
      <c r="F43" s="1">
        <v>199.577</v>
      </c>
      <c r="G43" s="1">
        <v>138.84</v>
      </c>
      <c r="H43" s="1">
        <v>11.069000000000001</v>
      </c>
      <c r="I43" s="1">
        <v>137.69200000000001</v>
      </c>
      <c r="K43" s="2">
        <v>222.488</v>
      </c>
      <c r="L43" s="2">
        <v>241.541</v>
      </c>
      <c r="M43" s="2">
        <v>238.95599999999999</v>
      </c>
      <c r="N43" s="2">
        <v>3.0129999999999999</v>
      </c>
      <c r="O43" s="2">
        <v>239.489</v>
      </c>
      <c r="Q43" s="3">
        <f t="shared" si="0"/>
        <v>0.58102746949229156</v>
      </c>
    </row>
    <row r="44" spans="1:17" x14ac:dyDescent="0.25">
      <c r="A44" t="s">
        <v>22</v>
      </c>
      <c r="B44">
        <v>19085</v>
      </c>
      <c r="C44" t="s">
        <v>10</v>
      </c>
      <c r="E44" s="1">
        <v>73.260000000000005</v>
      </c>
      <c r="F44" s="1">
        <v>103.526</v>
      </c>
      <c r="G44" s="1">
        <v>87.808000000000007</v>
      </c>
      <c r="H44" s="1">
        <v>5.359</v>
      </c>
      <c r="I44" s="1">
        <v>87.554000000000002</v>
      </c>
      <c r="K44" s="2">
        <v>105.239</v>
      </c>
      <c r="L44" s="2">
        <v>139.04499999999999</v>
      </c>
      <c r="M44" s="2">
        <v>116.717</v>
      </c>
      <c r="N44" s="2">
        <v>6.9109999999999996</v>
      </c>
      <c r="O44" s="2">
        <v>115.011</v>
      </c>
      <c r="Q44" s="3">
        <f t="shared" si="0"/>
        <v>0.75231542962893161</v>
      </c>
    </row>
    <row r="45" spans="1:17" x14ac:dyDescent="0.25">
      <c r="A45" t="s">
        <v>22</v>
      </c>
      <c r="B45">
        <v>19085</v>
      </c>
      <c r="C45" t="s">
        <v>12</v>
      </c>
      <c r="E45" s="1">
        <v>37.082000000000001</v>
      </c>
      <c r="F45" s="1">
        <v>38.444000000000003</v>
      </c>
      <c r="G45" s="1">
        <v>37.914999999999999</v>
      </c>
      <c r="H45" s="1">
        <v>0.34399999999999997</v>
      </c>
      <c r="I45" s="1">
        <v>37.985999999999997</v>
      </c>
      <c r="K45" s="2">
        <v>52.796999999999997</v>
      </c>
      <c r="L45" s="2">
        <v>55.091999999999999</v>
      </c>
      <c r="M45" s="2">
        <v>53.843000000000004</v>
      </c>
      <c r="N45" s="2">
        <v>0.53400000000000003</v>
      </c>
      <c r="O45" s="2">
        <v>54.027000000000001</v>
      </c>
      <c r="Q45" s="3">
        <f t="shared" si="0"/>
        <v>0.70417695893616616</v>
      </c>
    </row>
    <row r="46" spans="1:17" x14ac:dyDescent="0.25">
      <c r="A46" t="s">
        <v>22</v>
      </c>
      <c r="B46">
        <v>19085</v>
      </c>
      <c r="C46" t="s">
        <v>15</v>
      </c>
      <c r="E46" s="1">
        <v>150.67400000000001</v>
      </c>
      <c r="F46" s="1">
        <v>165.30600000000001</v>
      </c>
      <c r="G46" s="1">
        <v>157.547</v>
      </c>
      <c r="H46" s="1">
        <v>4.391</v>
      </c>
      <c r="I46" s="1">
        <v>159.416</v>
      </c>
      <c r="K46" s="2">
        <v>296.36099999999999</v>
      </c>
      <c r="L46" s="2">
        <v>336.89499999999998</v>
      </c>
      <c r="M46" s="2">
        <v>318.79700000000003</v>
      </c>
      <c r="N46" s="2">
        <v>12.436</v>
      </c>
      <c r="O46" s="2">
        <v>325.74799999999999</v>
      </c>
      <c r="Q46" s="3">
        <f t="shared" si="0"/>
        <v>0.49419222891056058</v>
      </c>
    </row>
    <row r="47" spans="1:17" x14ac:dyDescent="0.25">
      <c r="A47" t="s">
        <v>14</v>
      </c>
      <c r="B47">
        <v>40311</v>
      </c>
      <c r="C47" t="s">
        <v>19</v>
      </c>
      <c r="E47" s="1">
        <v>792.16499999999996</v>
      </c>
      <c r="F47" s="1">
        <v>1010.796</v>
      </c>
      <c r="G47" s="1">
        <v>876.43299999999999</v>
      </c>
      <c r="H47" s="1">
        <v>36.036999999999999</v>
      </c>
      <c r="I47" s="1">
        <v>871.13599999999997</v>
      </c>
      <c r="K47" s="2">
        <v>1451.6959999999999</v>
      </c>
      <c r="L47" s="2">
        <v>1695.35</v>
      </c>
      <c r="M47" s="2">
        <v>1559.2470000000001</v>
      </c>
      <c r="N47" s="2">
        <v>44.975999999999999</v>
      </c>
      <c r="O47" s="2">
        <v>1555.4159999999999</v>
      </c>
      <c r="Q47" s="3">
        <f t="shared" si="0"/>
        <v>0.56208734087671808</v>
      </c>
    </row>
    <row r="48" spans="1:17" x14ac:dyDescent="0.25">
      <c r="A48" t="s">
        <v>14</v>
      </c>
      <c r="B48">
        <v>40311</v>
      </c>
      <c r="C48" t="s">
        <v>9</v>
      </c>
      <c r="E48" s="1">
        <v>262.69900000000001</v>
      </c>
      <c r="F48" s="1">
        <v>318.83800000000002</v>
      </c>
      <c r="G48" s="1">
        <v>283.83600000000001</v>
      </c>
      <c r="H48" s="1">
        <v>7.5789999999999997</v>
      </c>
      <c r="I48" s="1">
        <v>282.08999999999997</v>
      </c>
      <c r="K48" s="2">
        <v>451.76299999999998</v>
      </c>
      <c r="L48" s="2">
        <v>489.2</v>
      </c>
      <c r="M48" s="2">
        <v>484.92399999999998</v>
      </c>
      <c r="N48" s="2">
        <v>6.1029999999999998</v>
      </c>
      <c r="O48" s="2">
        <v>486.02800000000002</v>
      </c>
      <c r="Q48" s="3">
        <f t="shared" si="0"/>
        <v>0.58532058631868089</v>
      </c>
    </row>
    <row r="49" spans="1:18" x14ac:dyDescent="0.25">
      <c r="A49" t="s">
        <v>14</v>
      </c>
      <c r="B49">
        <v>40311</v>
      </c>
      <c r="C49" t="s">
        <v>10</v>
      </c>
      <c r="E49" s="1">
        <v>132.06700000000001</v>
      </c>
      <c r="F49" s="1">
        <v>196.38800000000001</v>
      </c>
      <c r="G49" s="1">
        <v>157.81</v>
      </c>
      <c r="H49" s="1">
        <v>10.67</v>
      </c>
      <c r="I49" s="1">
        <v>155.79300000000001</v>
      </c>
      <c r="K49" s="2">
        <v>188.333</v>
      </c>
      <c r="L49" s="2">
        <v>256.22899999999998</v>
      </c>
      <c r="M49" s="2">
        <v>208.95400000000001</v>
      </c>
      <c r="N49" s="2">
        <v>13.507</v>
      </c>
      <c r="O49" s="2">
        <v>205.67699999999999</v>
      </c>
      <c r="Q49" s="3">
        <f t="shared" si="0"/>
        <v>0.75523799496539912</v>
      </c>
    </row>
    <row r="50" spans="1:18" x14ac:dyDescent="0.25">
      <c r="A50" t="s">
        <v>14</v>
      </c>
      <c r="B50">
        <v>40311</v>
      </c>
      <c r="C50" t="s">
        <v>12</v>
      </c>
      <c r="E50" s="1">
        <v>68.093000000000004</v>
      </c>
      <c r="F50" s="1">
        <v>71.355999999999995</v>
      </c>
      <c r="G50" s="1">
        <v>69.599999999999994</v>
      </c>
      <c r="H50" s="1">
        <v>0.64200000000000002</v>
      </c>
      <c r="I50" s="1">
        <v>69.611999999999995</v>
      </c>
      <c r="K50" s="2">
        <v>99.364000000000004</v>
      </c>
      <c r="L50" s="2">
        <v>114.822</v>
      </c>
      <c r="M50" s="2">
        <v>101.21899999999999</v>
      </c>
      <c r="N50" s="2">
        <v>1.7969999999999999</v>
      </c>
      <c r="O50" s="2">
        <v>101.551</v>
      </c>
      <c r="Q50" s="3">
        <f t="shared" si="0"/>
        <v>0.6876179373437793</v>
      </c>
    </row>
    <row r="51" spans="1:18" x14ac:dyDescent="0.25">
      <c r="A51" t="s">
        <v>14</v>
      </c>
      <c r="B51">
        <v>40311</v>
      </c>
      <c r="C51" t="s">
        <v>15</v>
      </c>
      <c r="E51" s="1">
        <v>503.78500000000003</v>
      </c>
      <c r="F51" s="1">
        <v>583.36599999999999</v>
      </c>
      <c r="G51" s="1">
        <v>518.61199999999997</v>
      </c>
      <c r="H51" s="1">
        <v>12.69</v>
      </c>
      <c r="I51" s="1">
        <v>512.99400000000003</v>
      </c>
      <c r="K51" s="2"/>
      <c r="L51" s="2"/>
      <c r="M51" s="2"/>
      <c r="N51" s="2"/>
      <c r="O51" s="2"/>
      <c r="Q51" s="3" t="s">
        <v>25</v>
      </c>
    </row>
    <row r="52" spans="1:18" x14ac:dyDescent="0.25">
      <c r="A52" t="s">
        <v>23</v>
      </c>
      <c r="B52">
        <v>4425</v>
      </c>
      <c r="C52" t="s">
        <v>19</v>
      </c>
      <c r="E52" s="1">
        <v>32.78</v>
      </c>
      <c r="F52" s="1">
        <v>42.622999999999998</v>
      </c>
      <c r="G52" s="1">
        <v>37.984000000000002</v>
      </c>
      <c r="H52" s="1">
        <v>1.893</v>
      </c>
      <c r="I52" s="1">
        <v>38.304000000000002</v>
      </c>
      <c r="K52" s="2">
        <v>56.472999999999999</v>
      </c>
      <c r="L52" s="2">
        <v>77.039000000000001</v>
      </c>
      <c r="M52" s="2">
        <v>67.156000000000006</v>
      </c>
      <c r="N52" s="2">
        <v>4.0149999999999997</v>
      </c>
      <c r="O52" s="2">
        <v>67.412999999999997</v>
      </c>
      <c r="Q52" s="3">
        <f t="shared" ref="Q52:Q61" si="1">G52/M52</f>
        <v>0.56560843409375183</v>
      </c>
    </row>
    <row r="53" spans="1:18" x14ac:dyDescent="0.25">
      <c r="A53" t="s">
        <v>23</v>
      </c>
      <c r="B53">
        <v>4425</v>
      </c>
      <c r="C53" t="s">
        <v>9</v>
      </c>
      <c r="E53" s="1">
        <v>8.8140000000000001</v>
      </c>
      <c r="F53" s="1">
        <v>9.4160000000000004</v>
      </c>
      <c r="G53" s="1">
        <v>9.048</v>
      </c>
      <c r="H53" s="1">
        <v>9.4E-2</v>
      </c>
      <c r="I53" s="1">
        <v>9.0329999999999995</v>
      </c>
      <c r="K53" s="2">
        <v>13.583</v>
      </c>
      <c r="L53" s="2">
        <v>14.433</v>
      </c>
      <c r="M53" s="2">
        <v>13.859</v>
      </c>
      <c r="N53" s="2">
        <v>0.14799999999999999</v>
      </c>
      <c r="O53" s="2">
        <v>13.821999999999999</v>
      </c>
      <c r="Q53" s="3">
        <f t="shared" si="1"/>
        <v>0.65286095677898837</v>
      </c>
    </row>
    <row r="54" spans="1:18" x14ac:dyDescent="0.25">
      <c r="A54" t="s">
        <v>23</v>
      </c>
      <c r="B54">
        <v>4425</v>
      </c>
      <c r="C54" t="s">
        <v>10</v>
      </c>
      <c r="E54" s="1">
        <v>31.283999999999999</v>
      </c>
      <c r="F54" s="1">
        <v>41.917999999999999</v>
      </c>
      <c r="G54" s="1">
        <v>36.588000000000001</v>
      </c>
      <c r="H54" s="1">
        <v>3.2170000000000001</v>
      </c>
      <c r="I54" s="1">
        <v>35.378999999999998</v>
      </c>
      <c r="K54" s="2">
        <v>36.457000000000001</v>
      </c>
      <c r="L54" s="2">
        <v>51.183999999999997</v>
      </c>
      <c r="M54" s="2">
        <v>43.59</v>
      </c>
      <c r="N54" s="2">
        <v>3.6850000000000001</v>
      </c>
      <c r="O54" s="2">
        <v>44.786000000000001</v>
      </c>
      <c r="Q54" s="3">
        <f t="shared" si="1"/>
        <v>0.83936682725395728</v>
      </c>
    </row>
    <row r="55" spans="1:18" x14ac:dyDescent="0.25">
      <c r="A55" t="s">
        <v>23</v>
      </c>
      <c r="B55">
        <v>4425</v>
      </c>
      <c r="C55" t="s">
        <v>12</v>
      </c>
      <c r="E55" s="1">
        <v>9.5039999999999996</v>
      </c>
      <c r="F55" s="1">
        <v>10.146000000000001</v>
      </c>
      <c r="G55" s="1">
        <v>9.8659999999999997</v>
      </c>
      <c r="H55" s="1">
        <v>0.15</v>
      </c>
      <c r="I55" s="1">
        <v>9.8620000000000001</v>
      </c>
      <c r="K55" s="2">
        <v>12.335000000000001</v>
      </c>
      <c r="L55" s="2">
        <v>13.912000000000001</v>
      </c>
      <c r="M55" s="2">
        <v>12.784000000000001</v>
      </c>
      <c r="N55" s="2">
        <v>0.25</v>
      </c>
      <c r="O55" s="2">
        <v>12.763</v>
      </c>
      <c r="Q55" s="3">
        <f t="shared" si="1"/>
        <v>0.77174593241551936</v>
      </c>
    </row>
    <row r="56" spans="1:18" x14ac:dyDescent="0.25">
      <c r="A56" t="s">
        <v>23</v>
      </c>
      <c r="B56">
        <v>4425</v>
      </c>
      <c r="C56" t="s">
        <v>15</v>
      </c>
      <c r="E56" s="1">
        <v>5.468</v>
      </c>
      <c r="F56" s="1">
        <v>6.3929999999999998</v>
      </c>
      <c r="G56" s="1">
        <v>6.02</v>
      </c>
      <c r="H56" s="1">
        <v>0.17599999999999999</v>
      </c>
      <c r="I56" s="1">
        <v>6.0110000000000001</v>
      </c>
      <c r="K56" s="2">
        <v>12.189</v>
      </c>
      <c r="L56" s="2">
        <v>15.125</v>
      </c>
      <c r="M56" s="2">
        <v>13.135</v>
      </c>
      <c r="N56" s="2">
        <v>0.35599999999999998</v>
      </c>
      <c r="O56" s="2">
        <v>13.138</v>
      </c>
      <c r="Q56" s="3">
        <f t="shared" si="1"/>
        <v>0.4583174724019794</v>
      </c>
    </row>
    <row r="57" spans="1:18" x14ac:dyDescent="0.25">
      <c r="A57" t="s">
        <v>11</v>
      </c>
      <c r="B57">
        <v>4480</v>
      </c>
      <c r="C57" t="s">
        <v>19</v>
      </c>
      <c r="E57" s="1">
        <v>34.003</v>
      </c>
      <c r="F57" s="1">
        <v>42.765999999999998</v>
      </c>
      <c r="G57" s="1">
        <v>39.683999999999997</v>
      </c>
      <c r="H57" s="1">
        <v>1.5049999999999999</v>
      </c>
      <c r="I57" s="1">
        <v>40.072000000000003</v>
      </c>
      <c r="K57" s="2">
        <v>59.781999999999996</v>
      </c>
      <c r="L57" s="2">
        <v>78.555999999999997</v>
      </c>
      <c r="M57" s="2">
        <v>69.126999999999995</v>
      </c>
      <c r="N57" s="2">
        <v>3.9260000000000002</v>
      </c>
      <c r="O57" s="2">
        <v>69.572000000000003</v>
      </c>
      <c r="Q57" s="3">
        <f t="shared" si="1"/>
        <v>0.57407380618282289</v>
      </c>
    </row>
    <row r="58" spans="1:18" x14ac:dyDescent="0.25">
      <c r="A58" t="s">
        <v>11</v>
      </c>
      <c r="B58">
        <v>4480</v>
      </c>
      <c r="C58" t="s">
        <v>9</v>
      </c>
      <c r="E58" s="1">
        <v>9.0920000000000005</v>
      </c>
      <c r="F58" s="1">
        <v>9.9939999999999998</v>
      </c>
      <c r="G58" s="1">
        <v>9.3209999999999997</v>
      </c>
      <c r="H58" s="1">
        <v>0.20599999999999999</v>
      </c>
      <c r="I58" s="1">
        <v>9.2469999999999999</v>
      </c>
      <c r="K58" s="2">
        <v>13.984</v>
      </c>
      <c r="L58" s="2">
        <v>14.938000000000001</v>
      </c>
      <c r="M58" s="2">
        <v>14.288</v>
      </c>
      <c r="N58" s="2">
        <v>0.17699999999999999</v>
      </c>
      <c r="O58" s="2">
        <v>14.23</v>
      </c>
      <c r="Q58" s="3">
        <f t="shared" si="1"/>
        <v>0.65236562150055988</v>
      </c>
    </row>
    <row r="59" spans="1:18" x14ac:dyDescent="0.25">
      <c r="A59" t="s">
        <v>11</v>
      </c>
      <c r="B59">
        <v>4480</v>
      </c>
      <c r="C59" t="s">
        <v>10</v>
      </c>
      <c r="E59" s="1">
        <v>31.550999999999998</v>
      </c>
      <c r="F59" s="1">
        <v>50.828000000000003</v>
      </c>
      <c r="G59" s="1">
        <v>37.029000000000003</v>
      </c>
      <c r="H59" s="1">
        <v>3.488</v>
      </c>
      <c r="I59" s="1">
        <v>35.222000000000001</v>
      </c>
      <c r="K59" s="2">
        <v>35.194000000000003</v>
      </c>
      <c r="L59" s="2">
        <v>60.749000000000002</v>
      </c>
      <c r="M59" s="2">
        <v>44.127000000000002</v>
      </c>
      <c r="N59" s="2">
        <v>4.1820000000000004</v>
      </c>
      <c r="O59" s="2">
        <v>45.432000000000002</v>
      </c>
      <c r="Q59" s="3">
        <f t="shared" si="1"/>
        <v>0.83914610102658238</v>
      </c>
    </row>
    <row r="60" spans="1:18" x14ac:dyDescent="0.25">
      <c r="A60" t="s">
        <v>11</v>
      </c>
      <c r="B60">
        <v>4480</v>
      </c>
      <c r="C60" t="s">
        <v>12</v>
      </c>
      <c r="E60" s="1">
        <v>9.6270000000000007</v>
      </c>
      <c r="F60" s="1">
        <v>10.552</v>
      </c>
      <c r="G60" s="1">
        <v>10.026</v>
      </c>
      <c r="H60" s="1">
        <v>0.16900000000000001</v>
      </c>
      <c r="I60" s="1">
        <v>10.035</v>
      </c>
      <c r="K60" s="2">
        <v>12.429</v>
      </c>
      <c r="L60" s="2">
        <v>13.819000000000001</v>
      </c>
      <c r="M60" s="2">
        <v>12.862</v>
      </c>
      <c r="N60" s="2">
        <v>0.216</v>
      </c>
      <c r="O60" s="2">
        <v>12.845000000000001</v>
      </c>
      <c r="Q60" s="3">
        <f t="shared" si="1"/>
        <v>0.77950552013683716</v>
      </c>
    </row>
    <row r="61" spans="1:18" x14ac:dyDescent="0.25">
      <c r="A61" t="s">
        <v>11</v>
      </c>
      <c r="B61">
        <v>4480</v>
      </c>
      <c r="C61" t="s">
        <v>15</v>
      </c>
      <c r="E61" s="1">
        <v>5.9269999999999996</v>
      </c>
      <c r="F61" s="1">
        <v>7.3019999999999996</v>
      </c>
      <c r="G61" s="1">
        <v>6.2619999999999996</v>
      </c>
      <c r="H61" s="1">
        <v>0.20399999999999999</v>
      </c>
      <c r="I61" s="1">
        <v>6.2389999999999999</v>
      </c>
      <c r="K61" s="2">
        <v>12.779</v>
      </c>
      <c r="L61" s="2">
        <v>14.683999999999999</v>
      </c>
      <c r="M61" s="2">
        <v>13.419</v>
      </c>
      <c r="N61" s="2">
        <v>0.245</v>
      </c>
      <c r="O61" s="2">
        <v>13.430999999999999</v>
      </c>
      <c r="Q61" s="3">
        <f t="shared" si="1"/>
        <v>0.46665176242641027</v>
      </c>
    </row>
    <row r="62" spans="1:18" x14ac:dyDescent="0.25">
      <c r="Q62" s="8">
        <f>AVERAGE(Q18:Q61)</f>
        <v>0.62152801040389172</v>
      </c>
      <c r="R62" t="s">
        <v>30</v>
      </c>
    </row>
    <row r="63" spans="1:18" x14ac:dyDescent="0.25">
      <c r="Q63" s="8">
        <f>STDEV(Q4:Q62)</f>
        <v>0.15356506844841777</v>
      </c>
    </row>
  </sheetData>
  <sortState xmlns:xlrd2="http://schemas.microsoft.com/office/spreadsheetml/2017/richdata2" ref="A3:Q61">
    <sortCondition ref="A3:A61"/>
    <sortCondition ref="C3:C61"/>
  </sortState>
  <mergeCells count="2">
    <mergeCell ref="E1:I1"/>
    <mergeCell ref="K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accRej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Johnstone, A</cp:lastModifiedBy>
  <dcterms:created xsi:type="dcterms:W3CDTF">2025-03-10T06:47:25Z</dcterms:created>
  <dcterms:modified xsi:type="dcterms:W3CDTF">2025-03-10T09:06:34Z</dcterms:modified>
</cp:coreProperties>
</file>